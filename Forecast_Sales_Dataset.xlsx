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MX Academy\AI in Finanace VI grupa\Day 1 - 05.11.2025\"/>
    </mc:Choice>
  </mc:AlternateContent>
  <xr:revisionPtr revIDLastSave="0" documentId="13_ncr:1_{17A255F1-ADF5-4F97-B48F-4E5B4A229700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44" i="2"/>
  <c r="C50" i="2"/>
  <c r="C56" i="2"/>
  <c r="H2" i="2"/>
  <c r="H8" i="2"/>
  <c r="C52" i="2"/>
  <c r="C58" i="2"/>
  <c r="C47" i="2"/>
  <c r="H5" i="2"/>
  <c r="C39" i="2"/>
  <c r="C45" i="2"/>
  <c r="C51" i="2"/>
  <c r="C57" i="2"/>
  <c r="H3" i="2"/>
  <c r="C46" i="2"/>
  <c r="H4" i="2"/>
  <c r="C53" i="2"/>
  <c r="C40" i="2"/>
  <c r="C41" i="2"/>
  <c r="C42" i="2"/>
  <c r="C48" i="2"/>
  <c r="C54" i="2"/>
  <c r="C60" i="2"/>
  <c r="H6" i="2"/>
  <c r="C49" i="2"/>
  <c r="C55" i="2"/>
  <c r="C61" i="2"/>
  <c r="H7" i="2"/>
  <c r="C59" i="2"/>
  <c r="C43" i="2"/>
  <c r="D43" i="2" l="1"/>
  <c r="D55" i="2"/>
  <c r="D54" i="2"/>
  <c r="E41" i="2"/>
  <c r="E46" i="2"/>
  <c r="D45" i="2"/>
  <c r="E58" i="2"/>
  <c r="D50" i="2"/>
  <c r="E55" i="2"/>
  <c r="E54" i="2"/>
  <c r="D41" i="2"/>
  <c r="D46" i="2"/>
  <c r="E45" i="2"/>
  <c r="E50" i="2"/>
  <c r="D59" i="2"/>
  <c r="D49" i="2"/>
  <c r="D40" i="2"/>
  <c r="D57" i="2"/>
  <c r="D52" i="2"/>
  <c r="E59" i="2"/>
  <c r="E40" i="2"/>
  <c r="E39" i="2"/>
  <c r="E44" i="2"/>
  <c r="D60" i="2"/>
  <c r="D53" i="2"/>
  <c r="D47" i="2"/>
  <c r="D38" i="2"/>
  <c r="E60" i="2"/>
  <c r="E53" i="2"/>
  <c r="E47" i="2"/>
  <c r="E38" i="2"/>
  <c r="E43" i="2"/>
  <c r="D58" i="2"/>
  <c r="D48" i="2"/>
  <c r="D39" i="2"/>
  <c r="D44" i="2"/>
  <c r="E49" i="2"/>
  <c r="E48" i="2"/>
  <c r="E57" i="2"/>
  <c r="E52" i="2"/>
  <c r="D61" i="2"/>
  <c r="D42" i="2"/>
  <c r="D51" i="2"/>
  <c r="D56" i="2"/>
  <c r="E61" i="2"/>
  <c r="E42" i="2"/>
  <c r="E51" i="2"/>
  <c r="E56" i="2"/>
</calcChain>
</file>

<file path=xl/sharedStrings.xml><?xml version="1.0" encoding="utf-8"?>
<sst xmlns="http://schemas.openxmlformats.org/spreadsheetml/2006/main" count="16" uniqueCount="14">
  <si>
    <t>Month</t>
  </si>
  <si>
    <t>Monthly Sales (MKD)</t>
  </si>
  <si>
    <t>Forecast(Monthly Sales (MKD))</t>
  </si>
  <si>
    <t>Lower Confidence Bound(Monthly Sales (MKD))</t>
  </si>
  <si>
    <t>Upper Confidence Bound(Monthly Sales (MKD))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</si>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</sst>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8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2" formatCode="0.00"/>
    </dxf>
    <dxf>
      <numFmt numFmtId="2" formatCode="0.00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Monthly Sales (MKD)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Sheet2!$B$2:$B$61</c:f>
              <c:numCache>
                <c:formatCode>General</c:formatCode>
                <c:ptCount val="60"/>
                <c:pt idx="0">
                  <c:v>11323.88</c:v>
                </c:pt>
                <c:pt idx="1">
                  <c:v>16376.57</c:v>
                </c:pt>
                <c:pt idx="2">
                  <c:v>15118.32</c:v>
                </c:pt>
                <c:pt idx="3">
                  <c:v>13296.47</c:v>
                </c:pt>
                <c:pt idx="4">
                  <c:v>15704.2</c:v>
                </c:pt>
                <c:pt idx="5">
                  <c:v>12677.61</c:v>
                </c:pt>
                <c:pt idx="6">
                  <c:v>12370.28</c:v>
                </c:pt>
                <c:pt idx="7">
                  <c:v>9736.2199999999993</c:v>
                </c:pt>
                <c:pt idx="8">
                  <c:v>8731.61</c:v>
                </c:pt>
                <c:pt idx="9">
                  <c:v>8940.44</c:v>
                </c:pt>
                <c:pt idx="10">
                  <c:v>9613.68</c:v>
                </c:pt>
                <c:pt idx="11">
                  <c:v>11269.33</c:v>
                </c:pt>
                <c:pt idx="12">
                  <c:v>11560.21</c:v>
                </c:pt>
                <c:pt idx="13">
                  <c:v>13027.67</c:v>
                </c:pt>
                <c:pt idx="14">
                  <c:v>15183.27</c:v>
                </c:pt>
                <c:pt idx="15">
                  <c:v>13491.43</c:v>
                </c:pt>
                <c:pt idx="16">
                  <c:v>14895.06</c:v>
                </c:pt>
                <c:pt idx="17">
                  <c:v>15104.73</c:v>
                </c:pt>
                <c:pt idx="18">
                  <c:v>11540.62</c:v>
                </c:pt>
                <c:pt idx="19">
                  <c:v>9206.65</c:v>
                </c:pt>
                <c:pt idx="20">
                  <c:v>7852.33</c:v>
                </c:pt>
                <c:pt idx="21">
                  <c:v>7865.17</c:v>
                </c:pt>
                <c:pt idx="22">
                  <c:v>9991.94</c:v>
                </c:pt>
                <c:pt idx="23">
                  <c:v>11919.95</c:v>
                </c:pt>
                <c:pt idx="24">
                  <c:v>13863.42</c:v>
                </c:pt>
                <c:pt idx="25">
                  <c:v>15949.98</c:v>
                </c:pt>
                <c:pt idx="26">
                  <c:v>16506.41</c:v>
                </c:pt>
                <c:pt idx="27">
                  <c:v>15381.54</c:v>
                </c:pt>
                <c:pt idx="28">
                  <c:v>14104.71</c:v>
                </c:pt>
                <c:pt idx="29">
                  <c:v>13594.77</c:v>
                </c:pt>
                <c:pt idx="30">
                  <c:v>11012.16</c:v>
                </c:pt>
                <c:pt idx="31">
                  <c:v>8516.6299999999992</c:v>
                </c:pt>
                <c:pt idx="32">
                  <c:v>10439.39</c:v>
                </c:pt>
                <c:pt idx="33">
                  <c:v>8184.79</c:v>
                </c:pt>
                <c:pt idx="34">
                  <c:v>11573.05</c:v>
                </c:pt>
                <c:pt idx="35">
                  <c:v>12841.64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4-46AF-8EB4-F6AA39ECA41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Forecast(Monthly Sales (MKD))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Sheet2!$A$2:$A$61</c:f>
              <c:numCache>
                <c:formatCode>yyyy\-mm\-dd\ hh:mm:ss</c:formatCode>
                <c:ptCount val="60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45353</c:v>
                </c:pt>
                <c:pt idx="38">
                  <c:v>45382</c:v>
                </c:pt>
                <c:pt idx="39">
                  <c:v>45413</c:v>
                </c:pt>
                <c:pt idx="40">
                  <c:v>45443</c:v>
                </c:pt>
                <c:pt idx="41">
                  <c:v>45474</c:v>
                </c:pt>
                <c:pt idx="42">
                  <c:v>45504</c:v>
                </c:pt>
                <c:pt idx="43">
                  <c:v>45535</c:v>
                </c:pt>
                <c:pt idx="44">
                  <c:v>45566</c:v>
                </c:pt>
                <c:pt idx="45">
                  <c:v>45596</c:v>
                </c:pt>
                <c:pt idx="46">
                  <c:v>45627</c:v>
                </c:pt>
                <c:pt idx="47">
                  <c:v>45657</c:v>
                </c:pt>
                <c:pt idx="48">
                  <c:v>45688</c:v>
                </c:pt>
                <c:pt idx="49">
                  <c:v>45719</c:v>
                </c:pt>
                <c:pt idx="50">
                  <c:v>45747</c:v>
                </c:pt>
                <c:pt idx="51">
                  <c:v>45778</c:v>
                </c:pt>
                <c:pt idx="52">
                  <c:v>45808</c:v>
                </c:pt>
                <c:pt idx="53">
                  <c:v>45839</c:v>
                </c:pt>
                <c:pt idx="54">
                  <c:v>45869</c:v>
                </c:pt>
                <c:pt idx="55">
                  <c:v>45900</c:v>
                </c:pt>
                <c:pt idx="56">
                  <c:v>45931</c:v>
                </c:pt>
                <c:pt idx="57">
                  <c:v>45961</c:v>
                </c:pt>
                <c:pt idx="58">
                  <c:v>45992</c:v>
                </c:pt>
                <c:pt idx="59">
                  <c:v>46022</c:v>
                </c:pt>
              </c:numCache>
            </c:numRef>
          </c:cat>
          <c:val>
            <c:numRef>
              <c:f>Sheet2!$C$2:$C$61</c:f>
              <c:numCache>
                <c:formatCode>General</c:formatCode>
                <c:ptCount val="60"/>
                <c:pt idx="35">
                  <c:v>12841.64</c:v>
                </c:pt>
                <c:pt idx="36">
                  <c:v>12788.023844390877</c:v>
                </c:pt>
                <c:pt idx="37">
                  <c:v>14949.11586462404</c:v>
                </c:pt>
                <c:pt idx="38">
                  <c:v>16206.752426548192</c:v>
                </c:pt>
                <c:pt idx="39">
                  <c:v>14664.458093887468</c:v>
                </c:pt>
                <c:pt idx="40">
                  <c:v>15517.002424107464</c:v>
                </c:pt>
                <c:pt idx="41">
                  <c:v>14625.676160269533</c:v>
                </c:pt>
                <c:pt idx="42">
                  <c:v>12437.818299136614</c:v>
                </c:pt>
                <c:pt idx="43">
                  <c:v>9939.4028597704146</c:v>
                </c:pt>
                <c:pt idx="44">
                  <c:v>9523.1290973259547</c:v>
                </c:pt>
                <c:pt idx="45">
                  <c:v>9026.9419750653251</c:v>
                </c:pt>
                <c:pt idx="46">
                  <c:v>10971.951629220623</c:v>
                </c:pt>
                <c:pt idx="47">
                  <c:v>12593.38735539853</c:v>
                </c:pt>
                <c:pt idx="48">
                  <c:v>13144.753966082935</c:v>
                </c:pt>
                <c:pt idx="49">
                  <c:v>15305.845986316097</c:v>
                </c:pt>
                <c:pt idx="50">
                  <c:v>16563.482548240252</c:v>
                </c:pt>
                <c:pt idx="51">
                  <c:v>15021.188215579527</c:v>
                </c:pt>
                <c:pt idx="52">
                  <c:v>15873.732545799523</c:v>
                </c:pt>
                <c:pt idx="53">
                  <c:v>14982.40628196159</c:v>
                </c:pt>
                <c:pt idx="54">
                  <c:v>12794.548420828673</c:v>
                </c:pt>
                <c:pt idx="55">
                  <c:v>10296.132981462473</c:v>
                </c:pt>
                <c:pt idx="56">
                  <c:v>9879.8592190180152</c:v>
                </c:pt>
                <c:pt idx="57">
                  <c:v>9383.6720967573856</c:v>
                </c:pt>
                <c:pt idx="58">
                  <c:v>11328.681750912683</c:v>
                </c:pt>
                <c:pt idx="59">
                  <c:v>12950.117477090591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4-46AF-8EB4-F6AA39ECA416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Bound(Monthly Sales (MKD))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Sheet2!$A$2:$A$61</c:f>
              <c:numCache>
                <c:formatCode>yyyy\-mm\-dd\ hh:mm:ss</c:formatCode>
                <c:ptCount val="60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45353</c:v>
                </c:pt>
                <c:pt idx="38">
                  <c:v>45382</c:v>
                </c:pt>
                <c:pt idx="39">
                  <c:v>45413</c:v>
                </c:pt>
                <c:pt idx="40">
                  <c:v>45443</c:v>
                </c:pt>
                <c:pt idx="41">
                  <c:v>45474</c:v>
                </c:pt>
                <c:pt idx="42">
                  <c:v>45504</c:v>
                </c:pt>
                <c:pt idx="43">
                  <c:v>45535</c:v>
                </c:pt>
                <c:pt idx="44">
                  <c:v>45566</c:v>
                </c:pt>
                <c:pt idx="45">
                  <c:v>45596</c:v>
                </c:pt>
                <c:pt idx="46">
                  <c:v>45627</c:v>
                </c:pt>
                <c:pt idx="47">
                  <c:v>45657</c:v>
                </c:pt>
                <c:pt idx="48">
                  <c:v>45688</c:v>
                </c:pt>
                <c:pt idx="49">
                  <c:v>45719</c:v>
                </c:pt>
                <c:pt idx="50">
                  <c:v>45747</c:v>
                </c:pt>
                <c:pt idx="51">
                  <c:v>45778</c:v>
                </c:pt>
                <c:pt idx="52">
                  <c:v>45808</c:v>
                </c:pt>
                <c:pt idx="53">
                  <c:v>45839</c:v>
                </c:pt>
                <c:pt idx="54">
                  <c:v>45869</c:v>
                </c:pt>
                <c:pt idx="55">
                  <c:v>45900</c:v>
                </c:pt>
                <c:pt idx="56">
                  <c:v>45931</c:v>
                </c:pt>
                <c:pt idx="57">
                  <c:v>45961</c:v>
                </c:pt>
                <c:pt idx="58">
                  <c:v>45992</c:v>
                </c:pt>
                <c:pt idx="59">
                  <c:v>46022</c:v>
                </c:pt>
              </c:numCache>
            </c:numRef>
          </c:cat>
          <c:val>
            <c:numRef>
              <c:f>Sheet2!$D$2:$D$61</c:f>
              <c:numCache>
                <c:formatCode>General</c:formatCode>
                <c:ptCount val="60"/>
                <c:pt idx="35" formatCode="0.00">
                  <c:v>12841.64</c:v>
                </c:pt>
                <c:pt idx="36" formatCode="0.00">
                  <c:v>10634.118442441946</c:v>
                </c:pt>
                <c:pt idx="37" formatCode="0.00">
                  <c:v>12795.20077012261</c:v>
                </c:pt>
                <c:pt idx="38" formatCode="0.00">
                  <c:v>14052.820100950008</c:v>
                </c:pt>
                <c:pt idx="39" formatCode="0.00">
                  <c:v>12510.498844976568</c:v>
                </c:pt>
                <c:pt idx="40" formatCode="0.00">
                  <c:v>13363.004406217451</c:v>
                </c:pt>
                <c:pt idx="41" formatCode="0.00">
                  <c:v>12471.625374612508</c:v>
                </c:pt>
                <c:pt idx="42" formatCode="0.00">
                  <c:v>10283.69859426123</c:v>
                </c:pt>
                <c:pt idx="43" formatCode="0.00">
                  <c:v>7785.1959321705299</c:v>
                </c:pt>
                <c:pt idx="44" formatCode="0.00">
                  <c:v>7368.8144922212614</c:v>
                </c:pt>
                <c:pt idx="45" formatCode="0.00">
                  <c:v>6872.4970873753355</c:v>
                </c:pt>
                <c:pt idx="46" formatCode="0.00">
                  <c:v>8817.3517047532678</c:v>
                </c:pt>
                <c:pt idx="47" formatCode="0.00">
                  <c:v>10438.605492274575</c:v>
                </c:pt>
                <c:pt idx="48" formatCode="0.00">
                  <c:v>10916.205981069375</c:v>
                </c:pt>
                <c:pt idx="49" formatCode="0.00">
                  <c:v>13077.063815282751</c:v>
                </c:pt>
                <c:pt idx="50" formatCode="0.00">
                  <c:v>14334.433955479848</c:v>
                </c:pt>
                <c:pt idx="51" formatCode="0.00">
                  <c:v>12791.838895926365</c:v>
                </c:pt>
                <c:pt idx="52" formatCode="0.00">
                  <c:v>13644.0461272676</c:v>
                </c:pt>
                <c:pt idx="53" formatCode="0.00">
                  <c:v>12752.344328708456</c:v>
                </c:pt>
                <c:pt idx="54" formatCode="0.00">
                  <c:v>10564.070436463124</c:v>
                </c:pt>
                <c:pt idx="55" formatCode="0.00">
                  <c:v>8065.1964127139745</c:v>
                </c:pt>
                <c:pt idx="56" formatCode="0.00">
                  <c:v>7648.4194597854457</c:v>
                </c:pt>
                <c:pt idx="57" formatCode="0.00">
                  <c:v>7151.6824925544188</c:v>
                </c:pt>
                <c:pt idx="58" formatCode="0.00">
                  <c:v>9096.0936037267966</c:v>
                </c:pt>
                <c:pt idx="59" formatCode="0.00">
                  <c:v>10716.880050672331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4-46AF-8EB4-F6AA39ECA416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Bound(Monthly Sales (MKD))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Sheet2!$A$2:$A$61</c:f>
              <c:numCache>
                <c:formatCode>yyyy\-mm\-dd\ hh:mm:ss</c:formatCode>
                <c:ptCount val="60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45353</c:v>
                </c:pt>
                <c:pt idx="38">
                  <c:v>45382</c:v>
                </c:pt>
                <c:pt idx="39">
                  <c:v>45413</c:v>
                </c:pt>
                <c:pt idx="40">
                  <c:v>45443</c:v>
                </c:pt>
                <c:pt idx="41">
                  <c:v>45474</c:v>
                </c:pt>
                <c:pt idx="42">
                  <c:v>45504</c:v>
                </c:pt>
                <c:pt idx="43">
                  <c:v>45535</c:v>
                </c:pt>
                <c:pt idx="44">
                  <c:v>45566</c:v>
                </c:pt>
                <c:pt idx="45">
                  <c:v>45596</c:v>
                </c:pt>
                <c:pt idx="46">
                  <c:v>45627</c:v>
                </c:pt>
                <c:pt idx="47">
                  <c:v>45657</c:v>
                </c:pt>
                <c:pt idx="48">
                  <c:v>45688</c:v>
                </c:pt>
                <c:pt idx="49">
                  <c:v>45719</c:v>
                </c:pt>
                <c:pt idx="50">
                  <c:v>45747</c:v>
                </c:pt>
                <c:pt idx="51">
                  <c:v>45778</c:v>
                </c:pt>
                <c:pt idx="52">
                  <c:v>45808</c:v>
                </c:pt>
                <c:pt idx="53">
                  <c:v>45839</c:v>
                </c:pt>
                <c:pt idx="54">
                  <c:v>45869</c:v>
                </c:pt>
                <c:pt idx="55">
                  <c:v>45900</c:v>
                </c:pt>
                <c:pt idx="56">
                  <c:v>45931</c:v>
                </c:pt>
                <c:pt idx="57">
                  <c:v>45961</c:v>
                </c:pt>
                <c:pt idx="58">
                  <c:v>45992</c:v>
                </c:pt>
                <c:pt idx="59">
                  <c:v>46022</c:v>
                </c:pt>
              </c:numCache>
            </c:numRef>
          </c:cat>
          <c:val>
            <c:numRef>
              <c:f>Sheet2!$E$2:$E$61</c:f>
              <c:numCache>
                <c:formatCode>General</c:formatCode>
                <c:ptCount val="60"/>
                <c:pt idx="35" formatCode="0.00">
                  <c:v>12841.64</c:v>
                </c:pt>
                <c:pt idx="36" formatCode="0.00">
                  <c:v>14941.929246339807</c:v>
                </c:pt>
                <c:pt idx="37" formatCode="0.00">
                  <c:v>17103.03095912547</c:v>
                </c:pt>
                <c:pt idx="38" formatCode="0.00">
                  <c:v>18360.684752146375</c:v>
                </c:pt>
                <c:pt idx="39" formatCode="0.00">
                  <c:v>16818.41734279837</c:v>
                </c:pt>
                <c:pt idx="40" formatCode="0.00">
                  <c:v>17671.000441997479</c:v>
                </c:pt>
                <c:pt idx="41" formatCode="0.00">
                  <c:v>16779.726945926559</c:v>
                </c:pt>
                <c:pt idx="42" formatCode="0.00">
                  <c:v>14591.938004011998</c:v>
                </c:pt>
                <c:pt idx="43" formatCode="0.00">
                  <c:v>12093.6097873703</c:v>
                </c:pt>
                <c:pt idx="44" formatCode="0.00">
                  <c:v>11677.443702430648</c:v>
                </c:pt>
                <c:pt idx="45" formatCode="0.00">
                  <c:v>11181.386862755315</c:v>
                </c:pt>
                <c:pt idx="46" formatCode="0.00">
                  <c:v>13126.551553687978</c:v>
                </c:pt>
                <c:pt idx="47" formatCode="0.00">
                  <c:v>14748.169218522486</c:v>
                </c:pt>
                <c:pt idx="48" formatCode="0.00">
                  <c:v>15373.301951096495</c:v>
                </c:pt>
                <c:pt idx="49" formatCode="0.00">
                  <c:v>17534.628157349442</c:v>
                </c:pt>
                <c:pt idx="50" formatCode="0.00">
                  <c:v>18792.531141000654</c:v>
                </c:pt>
                <c:pt idx="51" formatCode="0.00">
                  <c:v>17250.537535232688</c:v>
                </c:pt>
                <c:pt idx="52" formatCode="0.00">
                  <c:v>18103.418964331446</c:v>
                </c:pt>
                <c:pt idx="53" formatCode="0.00">
                  <c:v>17212.468235214725</c:v>
                </c:pt>
                <c:pt idx="54" formatCode="0.00">
                  <c:v>15025.026405194221</c:v>
                </c:pt>
                <c:pt idx="55" formatCode="0.00">
                  <c:v>12527.069550210972</c:v>
                </c:pt>
                <c:pt idx="56" formatCode="0.00">
                  <c:v>12111.298978250585</c:v>
                </c:pt>
                <c:pt idx="57" formatCode="0.00">
                  <c:v>11615.661700960352</c:v>
                </c:pt>
                <c:pt idx="58" formatCode="0.00">
                  <c:v>13561.26989809857</c:v>
                </c:pt>
                <c:pt idx="59" formatCode="0.00">
                  <c:v>15183.354903508851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4-46AF-8EB4-F6AA39EC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61632"/>
        <c:axId val="537389712"/>
      </c:lineChart>
      <c:catAx>
        <c:axId val="5346163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89712"/>
        <c:crosses val="autoZero"/>
        <c:auto val="1"/>
        <c:lblAlgn val="ctr"/>
        <c:lblOffset val="100"/>
        <c:noMultiLvlLbl val="0"/>
      </c:catAx>
      <c:valAx>
        <c:axId val="5373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1905000</xdr:colOff>
      <xdr:row>11</xdr:row>
      <xdr:rowOff>52387</xdr:rowOff>
    </xdr:from>
    <xdr:to>
      <xdr:col>8</xdr:col>
      <xdr:colOff>133350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4F997-7597-387A-4D4F-F7A5BF381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E7A622-E009-43B8-B32D-811E6240084F}" name="Table2" displayName="Table2" ref="A1:E61" totalsRowShown="0">
  <autoFilter ref="A1:E61" xr:uid="{ABE7A622-E009-43B8-B32D-811E6240084F}"/>
  <tableColumns count="5">
    <tableColumn id="1" xr3:uid="{3C80B526-4E1F-432C-8966-4D42AE47ED35}" name="Month" dataDxfId="7"/>
    <tableColumn id="2" xr3:uid="{446B6A4E-E5C0-41F7-B2D1-698E1B2364C3}" name="Monthly Sales (MKD)"/>
    <tableColumn id="3" xr3:uid="{CAE8D15C-0C90-48DC-AD39-CD30B3FA4E40}" name="Forecast(Monthly Sales (MKD))">
      <calculatedColumnFormula>_xlfn.FORECAST.ETS(A2,$B$2:$B$37,$A$2:$A$37,1,1)</calculatedColumnFormula>
    </tableColumn>
    <tableColumn id="4" xr3:uid="{E8D4A15E-8C71-4A87-8595-CC0DD6FBB433}" name="Lower Confidence Bound(Monthly Sales (MKD))" dataDxfId="6">
      <calculatedColumnFormula>C2-_xlfn.FORECAST.ETS.CONFINT(A2,$B$2:$B$37,$A$2:$A$37,0.95,1,1)</calculatedColumnFormula>
    </tableColumn>
    <tableColumn id="5" xr3:uid="{EAB515F0-F8E4-482B-8552-DFF6BB1C95AC}" name="Upper Confidence Bound(Monthly Sales (MKD))" dataDxfId="5">
      <calculatedColumnFormula>C2+_xlfn.FORECAST.ETS.CONFINT(A2,$B$2:$B$37,$A$2:$A$37,0.95,1,1)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63615D-0315-44BC-9EC6-A47D1CC0DAD7}" name="Table3" displayName="Table3" ref="G1:H8" totalsRowShown="0">
  <autoFilter ref="G1:H8" xr:uid="{7963615D-0315-44BC-9EC6-A47D1CC0DAD7}"/>
  <tableColumns count="2">
    <tableColumn id="1" xr3:uid="{16324E7F-1354-496D-B24B-8AD3ADA5AD94}" name="Statistic"/>
    <tableColumn id="2" xr3:uid="{DA582419-1B52-4F56-91AB-21C622069E32}" name="Valu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9A33C-DE96-4556-A2D8-C3F8D82305C7}" name="Table1" displayName="Table1" ref="A1:B37" totalsRowShown="0" headerRowDxfId="3" headerRowBorderDxfId="2" tableBorderDxfId="1">
  <autoFilter ref="A1:B37" xr:uid="{1529A33C-DE96-4556-A2D8-C3F8D82305C7}"/>
  <tableColumns count="2">
    <tableColumn id="1" xr3:uid="{026A83F7-5950-4920-BDB1-1237EEC44B5D}" name="Month" dataDxfId="0"/>
    <tableColumn id="2" xr3:uid="{93629077-21F0-4CB6-968E-371301D0519F}" name="Monthly Sales (MKD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D125-DA41-4663-B03E-960BCC2C093F}">
  <dimension ref="A1:H61"/>
  <sheetViews>
    <sheetView topLeftCell="A4" workbookViewId="0"/>
  </sheetViews>
  <sheetFormatPr defaultRowHeight="14.4" x14ac:dyDescent="0.3"/>
  <cols>
    <col min="1" max="1" width="18.33203125" bestFit="1" customWidth="1"/>
    <col min="2" max="2" width="21.88671875" customWidth="1"/>
    <col min="3" max="3" width="30.6640625" customWidth="1"/>
    <col min="4" max="4" width="45.44140625" customWidth="1"/>
    <col min="5" max="5" width="45.5546875" customWidth="1"/>
    <col min="7" max="7" width="10.109375" customWidth="1"/>
    <col min="8" max="8" width="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3">
      <c r="A2" s="1">
        <v>44227</v>
      </c>
      <c r="B2">
        <v>11323.88</v>
      </c>
      <c r="G2" t="s">
        <v>7</v>
      </c>
      <c r="H2" s="4">
        <f>_xlfn.FORECAST.ETS.STAT($B$2:$B$37,$A$2:$A$37,1,1,1)</f>
        <v>2E-3</v>
      </c>
    </row>
    <row r="3" spans="1:8" x14ac:dyDescent="0.3">
      <c r="A3" s="1">
        <v>44255</v>
      </c>
      <c r="B3">
        <v>16376.57</v>
      </c>
      <c r="G3" t="s">
        <v>8</v>
      </c>
      <c r="H3" s="4">
        <f>_xlfn.FORECAST.ETS.STAT($B$2:$B$37,$A$2:$A$37,2,1,1)</f>
        <v>1E-3</v>
      </c>
    </row>
    <row r="4" spans="1:8" x14ac:dyDescent="0.3">
      <c r="A4" s="1">
        <v>44286</v>
      </c>
      <c r="B4">
        <v>15118.32</v>
      </c>
      <c r="G4" t="s">
        <v>9</v>
      </c>
      <c r="H4" s="4">
        <f>_xlfn.FORECAST.ETS.STAT($B$2:$B$37,$A$2:$A$37,3,1,1)</f>
        <v>0.25</v>
      </c>
    </row>
    <row r="5" spans="1:8" x14ac:dyDescent="0.3">
      <c r="A5" s="1">
        <v>44316</v>
      </c>
      <c r="B5">
        <v>13296.47</v>
      </c>
      <c r="G5" t="s">
        <v>10</v>
      </c>
      <c r="H5" s="4">
        <f>_xlfn.FORECAST.ETS.STAT($B$2:$B$37,$A$2:$A$37,4,1,1)</f>
        <v>0.69592137147128386</v>
      </c>
    </row>
    <row r="6" spans="1:8" x14ac:dyDescent="0.3">
      <c r="A6" s="1">
        <v>44347</v>
      </c>
      <c r="B6">
        <v>15704.2</v>
      </c>
      <c r="G6" t="s">
        <v>11</v>
      </c>
      <c r="H6" s="4">
        <f>_xlfn.FORECAST.ETS.STAT($B$2:$B$37,$A$2:$A$37,5,1,1)</f>
        <v>9.4698256591386559E-2</v>
      </c>
    </row>
    <row r="7" spans="1:8" x14ac:dyDescent="0.3">
      <c r="A7" s="1">
        <v>44377</v>
      </c>
      <c r="B7">
        <v>12677.61</v>
      </c>
      <c r="G7" t="s">
        <v>12</v>
      </c>
      <c r="H7" s="4">
        <f>_xlfn.FORECAST.ETS.STAT($B$2:$B$37,$A$2:$A$37,6,1,1)</f>
        <v>1144.4642358079288</v>
      </c>
    </row>
    <row r="8" spans="1:8" x14ac:dyDescent="0.3">
      <c r="A8" s="1">
        <v>44408</v>
      </c>
      <c r="B8">
        <v>12370.28</v>
      </c>
      <c r="G8" t="s">
        <v>13</v>
      </c>
      <c r="H8" s="4">
        <f>_xlfn.FORECAST.ETS.STAT($B$2:$B$37,$A$2:$A$37,7,1,1)</f>
        <v>1263.6327708683</v>
      </c>
    </row>
    <row r="9" spans="1:8" x14ac:dyDescent="0.3">
      <c r="A9" s="1">
        <v>44439</v>
      </c>
      <c r="B9">
        <v>9736.2199999999993</v>
      </c>
    </row>
    <row r="10" spans="1:8" x14ac:dyDescent="0.3">
      <c r="A10" s="1">
        <v>44469</v>
      </c>
      <c r="B10">
        <v>8731.61</v>
      </c>
    </row>
    <row r="11" spans="1:8" x14ac:dyDescent="0.3">
      <c r="A11" s="1">
        <v>44500</v>
      </c>
      <c r="B11">
        <v>8940.44</v>
      </c>
    </row>
    <row r="12" spans="1:8" x14ac:dyDescent="0.3">
      <c r="A12" s="1">
        <v>44530</v>
      </c>
      <c r="B12">
        <v>9613.68</v>
      </c>
    </row>
    <row r="13" spans="1:8" x14ac:dyDescent="0.3">
      <c r="A13" s="1">
        <v>44561</v>
      </c>
      <c r="B13">
        <v>11269.33</v>
      </c>
    </row>
    <row r="14" spans="1:8" x14ac:dyDescent="0.3">
      <c r="A14" s="1">
        <v>44592</v>
      </c>
      <c r="B14">
        <v>11560.21</v>
      </c>
    </row>
    <row r="15" spans="1:8" x14ac:dyDescent="0.3">
      <c r="A15" s="1">
        <v>44620</v>
      </c>
      <c r="B15">
        <v>13027.67</v>
      </c>
    </row>
    <row r="16" spans="1:8" x14ac:dyDescent="0.3">
      <c r="A16" s="1">
        <v>44651</v>
      </c>
      <c r="B16">
        <v>15183.27</v>
      </c>
    </row>
    <row r="17" spans="1:2" x14ac:dyDescent="0.3">
      <c r="A17" s="1">
        <v>44681</v>
      </c>
      <c r="B17">
        <v>13491.43</v>
      </c>
    </row>
    <row r="18" spans="1:2" x14ac:dyDescent="0.3">
      <c r="A18" s="1">
        <v>44712</v>
      </c>
      <c r="B18">
        <v>14895.06</v>
      </c>
    </row>
    <row r="19" spans="1:2" x14ac:dyDescent="0.3">
      <c r="A19" s="1">
        <v>44742</v>
      </c>
      <c r="B19">
        <v>15104.73</v>
      </c>
    </row>
    <row r="20" spans="1:2" x14ac:dyDescent="0.3">
      <c r="A20" s="1">
        <v>44773</v>
      </c>
      <c r="B20">
        <v>11540.62</v>
      </c>
    </row>
    <row r="21" spans="1:2" x14ac:dyDescent="0.3">
      <c r="A21" s="1">
        <v>44804</v>
      </c>
      <c r="B21">
        <v>9206.65</v>
      </c>
    </row>
    <row r="22" spans="1:2" x14ac:dyDescent="0.3">
      <c r="A22" s="1">
        <v>44834</v>
      </c>
      <c r="B22">
        <v>7852.33</v>
      </c>
    </row>
    <row r="23" spans="1:2" x14ac:dyDescent="0.3">
      <c r="A23" s="1">
        <v>44865</v>
      </c>
      <c r="B23">
        <v>7865.17</v>
      </c>
    </row>
    <row r="24" spans="1:2" x14ac:dyDescent="0.3">
      <c r="A24" s="1">
        <v>44895</v>
      </c>
      <c r="B24">
        <v>9991.94</v>
      </c>
    </row>
    <row r="25" spans="1:2" x14ac:dyDescent="0.3">
      <c r="A25" s="1">
        <v>44926</v>
      </c>
      <c r="B25">
        <v>11919.95</v>
      </c>
    </row>
    <row r="26" spans="1:2" x14ac:dyDescent="0.3">
      <c r="A26" s="1">
        <v>44957</v>
      </c>
      <c r="B26">
        <v>13863.42</v>
      </c>
    </row>
    <row r="27" spans="1:2" x14ac:dyDescent="0.3">
      <c r="A27" s="1">
        <v>44985</v>
      </c>
      <c r="B27">
        <v>15949.98</v>
      </c>
    </row>
    <row r="28" spans="1:2" x14ac:dyDescent="0.3">
      <c r="A28" s="1">
        <v>45016</v>
      </c>
      <c r="B28">
        <v>16506.41</v>
      </c>
    </row>
    <row r="29" spans="1:2" x14ac:dyDescent="0.3">
      <c r="A29" s="1">
        <v>45046</v>
      </c>
      <c r="B29">
        <v>15381.54</v>
      </c>
    </row>
    <row r="30" spans="1:2" x14ac:dyDescent="0.3">
      <c r="A30" s="1">
        <v>45077</v>
      </c>
      <c r="B30">
        <v>14104.71</v>
      </c>
    </row>
    <row r="31" spans="1:2" x14ac:dyDescent="0.3">
      <c r="A31" s="1">
        <v>45107</v>
      </c>
      <c r="B31">
        <v>13594.77</v>
      </c>
    </row>
    <row r="32" spans="1:2" x14ac:dyDescent="0.3">
      <c r="A32" s="1">
        <v>45138</v>
      </c>
      <c r="B32">
        <v>11012.16</v>
      </c>
    </row>
    <row r="33" spans="1:5" x14ac:dyDescent="0.3">
      <c r="A33" s="1">
        <v>45169</v>
      </c>
      <c r="B33">
        <v>8516.6299999999992</v>
      </c>
    </row>
    <row r="34" spans="1:5" x14ac:dyDescent="0.3">
      <c r="A34" s="1">
        <v>45199</v>
      </c>
      <c r="B34">
        <v>10439.39</v>
      </c>
    </row>
    <row r="35" spans="1:5" x14ac:dyDescent="0.3">
      <c r="A35" s="1">
        <v>45230</v>
      </c>
      <c r="B35">
        <v>8184.79</v>
      </c>
    </row>
    <row r="36" spans="1:5" x14ac:dyDescent="0.3">
      <c r="A36" s="1">
        <v>45260</v>
      </c>
      <c r="B36">
        <v>11573.05</v>
      </c>
    </row>
    <row r="37" spans="1:5" x14ac:dyDescent="0.3">
      <c r="A37" s="1">
        <v>45291</v>
      </c>
      <c r="B37">
        <v>12841.64</v>
      </c>
      <c r="C37">
        <v>12841.64</v>
      </c>
      <c r="D37" s="3">
        <v>12841.64</v>
      </c>
      <c r="E37" s="3">
        <v>12841.64</v>
      </c>
    </row>
    <row r="38" spans="1:5" x14ac:dyDescent="0.3">
      <c r="A38" s="1">
        <v>45322</v>
      </c>
      <c r="C38">
        <f t="shared" ref="C38:C61" si="0">_xlfn.FORECAST.ETS(A38,$B$2:$B$37,$A$2:$A$37,1,1)</f>
        <v>12788.023844390877</v>
      </c>
      <c r="D38" s="3">
        <f t="shared" ref="D38:D61" si="1">C38-_xlfn.FORECAST.ETS.CONFINT(A38,$B$2:$B$37,$A$2:$A$37,0.95,1,1)</f>
        <v>10634.118442441946</v>
      </c>
      <c r="E38" s="3">
        <f t="shared" ref="E38:E61" si="2">C38+_xlfn.FORECAST.ETS.CONFINT(A38,$B$2:$B$37,$A$2:$A$37,0.95,1,1)</f>
        <v>14941.929246339807</v>
      </c>
    </row>
    <row r="39" spans="1:5" x14ac:dyDescent="0.3">
      <c r="A39" s="1">
        <v>45353</v>
      </c>
      <c r="C39">
        <f t="shared" si="0"/>
        <v>14949.11586462404</v>
      </c>
      <c r="D39" s="3">
        <f t="shared" si="1"/>
        <v>12795.20077012261</v>
      </c>
      <c r="E39" s="3">
        <f t="shared" si="2"/>
        <v>17103.03095912547</v>
      </c>
    </row>
    <row r="40" spans="1:5" x14ac:dyDescent="0.3">
      <c r="A40" s="1">
        <v>45382</v>
      </c>
      <c r="C40">
        <f t="shared" si="0"/>
        <v>16206.752426548192</v>
      </c>
      <c r="D40" s="3">
        <f t="shared" si="1"/>
        <v>14052.820100950008</v>
      </c>
      <c r="E40" s="3">
        <f t="shared" si="2"/>
        <v>18360.684752146375</v>
      </c>
    </row>
    <row r="41" spans="1:5" x14ac:dyDescent="0.3">
      <c r="A41" s="1">
        <v>45413</v>
      </c>
      <c r="C41">
        <f t="shared" si="0"/>
        <v>14664.458093887468</v>
      </c>
      <c r="D41" s="3">
        <f t="shared" si="1"/>
        <v>12510.498844976568</v>
      </c>
      <c r="E41" s="3">
        <f t="shared" si="2"/>
        <v>16818.41734279837</v>
      </c>
    </row>
    <row r="42" spans="1:5" x14ac:dyDescent="0.3">
      <c r="A42" s="1">
        <v>45443</v>
      </c>
      <c r="C42">
        <f t="shared" si="0"/>
        <v>15517.002424107464</v>
      </c>
      <c r="D42" s="3">
        <f t="shared" si="1"/>
        <v>13363.004406217451</v>
      </c>
      <c r="E42" s="3">
        <f t="shared" si="2"/>
        <v>17671.000441997479</v>
      </c>
    </row>
    <row r="43" spans="1:5" x14ac:dyDescent="0.3">
      <c r="A43" s="1">
        <v>45474</v>
      </c>
      <c r="C43">
        <f t="shared" si="0"/>
        <v>14625.676160269533</v>
      </c>
      <c r="D43" s="3">
        <f t="shared" si="1"/>
        <v>12471.625374612508</v>
      </c>
      <c r="E43" s="3">
        <f t="shared" si="2"/>
        <v>16779.726945926559</v>
      </c>
    </row>
    <row r="44" spans="1:5" x14ac:dyDescent="0.3">
      <c r="A44" s="1">
        <v>45504</v>
      </c>
      <c r="C44">
        <f t="shared" si="0"/>
        <v>12437.818299136614</v>
      </c>
      <c r="D44" s="3">
        <f t="shared" si="1"/>
        <v>10283.69859426123</v>
      </c>
      <c r="E44" s="3">
        <f t="shared" si="2"/>
        <v>14591.938004011998</v>
      </c>
    </row>
    <row r="45" spans="1:5" x14ac:dyDescent="0.3">
      <c r="A45" s="1">
        <v>45535</v>
      </c>
      <c r="C45">
        <f t="shared" si="0"/>
        <v>9939.4028597704146</v>
      </c>
      <c r="D45" s="3">
        <f t="shared" si="1"/>
        <v>7785.1959321705299</v>
      </c>
      <c r="E45" s="3">
        <f t="shared" si="2"/>
        <v>12093.6097873703</v>
      </c>
    </row>
    <row r="46" spans="1:5" x14ac:dyDescent="0.3">
      <c r="A46" s="1">
        <v>45566</v>
      </c>
      <c r="C46">
        <f t="shared" si="0"/>
        <v>9523.1290973259547</v>
      </c>
      <c r="D46" s="3">
        <f t="shared" si="1"/>
        <v>7368.8144922212614</v>
      </c>
      <c r="E46" s="3">
        <f t="shared" si="2"/>
        <v>11677.443702430648</v>
      </c>
    </row>
    <row r="47" spans="1:5" x14ac:dyDescent="0.3">
      <c r="A47" s="1">
        <v>45596</v>
      </c>
      <c r="C47">
        <f t="shared" si="0"/>
        <v>9026.9419750653251</v>
      </c>
      <c r="D47" s="3">
        <f t="shared" si="1"/>
        <v>6872.4970873753355</v>
      </c>
      <c r="E47" s="3">
        <f t="shared" si="2"/>
        <v>11181.386862755315</v>
      </c>
    </row>
    <row r="48" spans="1:5" x14ac:dyDescent="0.3">
      <c r="A48" s="1">
        <v>45627</v>
      </c>
      <c r="C48">
        <f t="shared" si="0"/>
        <v>10971.951629220623</v>
      </c>
      <c r="D48" s="3">
        <f t="shared" si="1"/>
        <v>8817.3517047532678</v>
      </c>
      <c r="E48" s="3">
        <f t="shared" si="2"/>
        <v>13126.551553687978</v>
      </c>
    </row>
    <row r="49" spans="1:5" x14ac:dyDescent="0.3">
      <c r="A49" s="1">
        <v>45657</v>
      </c>
      <c r="C49">
        <f t="shared" si="0"/>
        <v>12593.38735539853</v>
      </c>
      <c r="D49" s="3">
        <f t="shared" si="1"/>
        <v>10438.605492274575</v>
      </c>
      <c r="E49" s="3">
        <f t="shared" si="2"/>
        <v>14748.169218522486</v>
      </c>
    </row>
    <row r="50" spans="1:5" x14ac:dyDescent="0.3">
      <c r="A50" s="1">
        <v>45688</v>
      </c>
      <c r="C50">
        <f t="shared" si="0"/>
        <v>13144.753966082935</v>
      </c>
      <c r="D50" s="3">
        <f t="shared" si="1"/>
        <v>10916.205981069375</v>
      </c>
      <c r="E50" s="3">
        <f t="shared" si="2"/>
        <v>15373.301951096495</v>
      </c>
    </row>
    <row r="51" spans="1:5" x14ac:dyDescent="0.3">
      <c r="A51" s="1">
        <v>45719</v>
      </c>
      <c r="C51">
        <f t="shared" si="0"/>
        <v>15305.845986316097</v>
      </c>
      <c r="D51" s="3">
        <f t="shared" si="1"/>
        <v>13077.063815282751</v>
      </c>
      <c r="E51" s="3">
        <f t="shared" si="2"/>
        <v>17534.628157349442</v>
      </c>
    </row>
    <row r="52" spans="1:5" x14ac:dyDescent="0.3">
      <c r="A52" s="1">
        <v>45747</v>
      </c>
      <c r="C52">
        <f t="shared" si="0"/>
        <v>16563.482548240252</v>
      </c>
      <c r="D52" s="3">
        <f t="shared" si="1"/>
        <v>14334.433955479848</v>
      </c>
      <c r="E52" s="3">
        <f t="shared" si="2"/>
        <v>18792.531141000654</v>
      </c>
    </row>
    <row r="53" spans="1:5" x14ac:dyDescent="0.3">
      <c r="A53" s="1">
        <v>45778</v>
      </c>
      <c r="C53">
        <f t="shared" si="0"/>
        <v>15021.188215579527</v>
      </c>
      <c r="D53" s="3">
        <f t="shared" si="1"/>
        <v>12791.838895926365</v>
      </c>
      <c r="E53" s="3">
        <f t="shared" si="2"/>
        <v>17250.537535232688</v>
      </c>
    </row>
    <row r="54" spans="1:5" x14ac:dyDescent="0.3">
      <c r="A54" s="1">
        <v>45808</v>
      </c>
      <c r="C54">
        <f t="shared" si="0"/>
        <v>15873.732545799523</v>
      </c>
      <c r="D54" s="3">
        <f t="shared" si="1"/>
        <v>13644.0461272676</v>
      </c>
      <c r="E54" s="3">
        <f t="shared" si="2"/>
        <v>18103.418964331446</v>
      </c>
    </row>
    <row r="55" spans="1:5" x14ac:dyDescent="0.3">
      <c r="A55" s="1">
        <v>45839</v>
      </c>
      <c r="C55">
        <f t="shared" si="0"/>
        <v>14982.40628196159</v>
      </c>
      <c r="D55" s="3">
        <f t="shared" si="1"/>
        <v>12752.344328708456</v>
      </c>
      <c r="E55" s="3">
        <f t="shared" si="2"/>
        <v>17212.468235214725</v>
      </c>
    </row>
    <row r="56" spans="1:5" x14ac:dyDescent="0.3">
      <c r="A56" s="1">
        <v>45869</v>
      </c>
      <c r="C56">
        <f t="shared" si="0"/>
        <v>12794.548420828673</v>
      </c>
      <c r="D56" s="3">
        <f t="shared" si="1"/>
        <v>10564.070436463124</v>
      </c>
      <c r="E56" s="3">
        <f t="shared" si="2"/>
        <v>15025.026405194221</v>
      </c>
    </row>
    <row r="57" spans="1:5" x14ac:dyDescent="0.3">
      <c r="A57" s="1">
        <v>45900</v>
      </c>
      <c r="C57">
        <f t="shared" si="0"/>
        <v>10296.132981462473</v>
      </c>
      <c r="D57" s="3">
        <f t="shared" si="1"/>
        <v>8065.1964127139745</v>
      </c>
      <c r="E57" s="3">
        <f t="shared" si="2"/>
        <v>12527.069550210972</v>
      </c>
    </row>
    <row r="58" spans="1:5" x14ac:dyDescent="0.3">
      <c r="A58" s="1">
        <v>45931</v>
      </c>
      <c r="C58">
        <f t="shared" si="0"/>
        <v>9879.8592190180152</v>
      </c>
      <c r="D58" s="3">
        <f t="shared" si="1"/>
        <v>7648.4194597854457</v>
      </c>
      <c r="E58" s="3">
        <f t="shared" si="2"/>
        <v>12111.298978250585</v>
      </c>
    </row>
    <row r="59" spans="1:5" x14ac:dyDescent="0.3">
      <c r="A59" s="1">
        <v>45961</v>
      </c>
      <c r="C59">
        <f t="shared" si="0"/>
        <v>9383.6720967573856</v>
      </c>
      <c r="D59" s="3">
        <f t="shared" si="1"/>
        <v>7151.6824925544188</v>
      </c>
      <c r="E59" s="3">
        <f t="shared" si="2"/>
        <v>11615.661700960352</v>
      </c>
    </row>
    <row r="60" spans="1:5" x14ac:dyDescent="0.3">
      <c r="A60" s="1">
        <v>45992</v>
      </c>
      <c r="C60">
        <f t="shared" si="0"/>
        <v>11328.681750912683</v>
      </c>
      <c r="D60" s="3">
        <f t="shared" si="1"/>
        <v>9096.0936037267966</v>
      </c>
      <c r="E60" s="3">
        <f t="shared" si="2"/>
        <v>13561.26989809857</v>
      </c>
    </row>
    <row r="61" spans="1:5" x14ac:dyDescent="0.3">
      <c r="A61" s="1">
        <v>46022</v>
      </c>
      <c r="C61">
        <f t="shared" si="0"/>
        <v>12950.117477090591</v>
      </c>
      <c r="D61" s="3">
        <f t="shared" si="1"/>
        <v>10716.880050672331</v>
      </c>
      <c r="E61" s="3">
        <f t="shared" si="2"/>
        <v>15183.354903508851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L25" sqref="L25"/>
    </sheetView>
  </sheetViews>
  <sheetFormatPr defaultRowHeight="14.4" x14ac:dyDescent="0.3"/>
  <cols>
    <col min="1" max="1" width="22" customWidth="1"/>
    <col min="2" max="2" width="26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44227</v>
      </c>
      <c r="B2">
        <v>11323.88</v>
      </c>
    </row>
    <row r="3" spans="1:2" x14ac:dyDescent="0.3">
      <c r="A3" s="1">
        <v>44255</v>
      </c>
      <c r="B3">
        <v>16376.57</v>
      </c>
    </row>
    <row r="4" spans="1:2" x14ac:dyDescent="0.3">
      <c r="A4" s="1">
        <v>44286</v>
      </c>
      <c r="B4">
        <v>15118.32</v>
      </c>
    </row>
    <row r="5" spans="1:2" x14ac:dyDescent="0.3">
      <c r="A5" s="1">
        <v>44316</v>
      </c>
      <c r="B5">
        <v>13296.47</v>
      </c>
    </row>
    <row r="6" spans="1:2" x14ac:dyDescent="0.3">
      <c r="A6" s="1">
        <v>44347</v>
      </c>
      <c r="B6">
        <v>15704.2</v>
      </c>
    </row>
    <row r="7" spans="1:2" x14ac:dyDescent="0.3">
      <c r="A7" s="1">
        <v>44377</v>
      </c>
      <c r="B7">
        <v>12677.61</v>
      </c>
    </row>
    <row r="8" spans="1:2" x14ac:dyDescent="0.3">
      <c r="A8" s="1">
        <v>44408</v>
      </c>
      <c r="B8">
        <v>12370.28</v>
      </c>
    </row>
    <row r="9" spans="1:2" x14ac:dyDescent="0.3">
      <c r="A9" s="1">
        <v>44439</v>
      </c>
      <c r="B9">
        <v>9736.2199999999993</v>
      </c>
    </row>
    <row r="10" spans="1:2" x14ac:dyDescent="0.3">
      <c r="A10" s="1">
        <v>44469</v>
      </c>
      <c r="B10">
        <v>8731.61</v>
      </c>
    </row>
    <row r="11" spans="1:2" x14ac:dyDescent="0.3">
      <c r="A11" s="1">
        <v>44500</v>
      </c>
      <c r="B11">
        <v>8940.44</v>
      </c>
    </row>
    <row r="12" spans="1:2" x14ac:dyDescent="0.3">
      <c r="A12" s="1">
        <v>44530</v>
      </c>
      <c r="B12">
        <v>9613.68</v>
      </c>
    </row>
    <row r="13" spans="1:2" x14ac:dyDescent="0.3">
      <c r="A13" s="1">
        <v>44561</v>
      </c>
      <c r="B13">
        <v>11269.33</v>
      </c>
    </row>
    <row r="14" spans="1:2" x14ac:dyDescent="0.3">
      <c r="A14" s="1">
        <v>44592</v>
      </c>
      <c r="B14">
        <v>11560.21</v>
      </c>
    </row>
    <row r="15" spans="1:2" x14ac:dyDescent="0.3">
      <c r="A15" s="1">
        <v>44620</v>
      </c>
      <c r="B15">
        <v>13027.67</v>
      </c>
    </row>
    <row r="16" spans="1:2" x14ac:dyDescent="0.3">
      <c r="A16" s="1">
        <v>44651</v>
      </c>
      <c r="B16">
        <v>15183.27</v>
      </c>
    </row>
    <row r="17" spans="1:2" x14ac:dyDescent="0.3">
      <c r="A17" s="1">
        <v>44681</v>
      </c>
      <c r="B17">
        <v>13491.43</v>
      </c>
    </row>
    <row r="18" spans="1:2" x14ac:dyDescent="0.3">
      <c r="A18" s="1">
        <v>44712</v>
      </c>
      <c r="B18">
        <v>14895.06</v>
      </c>
    </row>
    <row r="19" spans="1:2" x14ac:dyDescent="0.3">
      <c r="A19" s="1">
        <v>44742</v>
      </c>
      <c r="B19">
        <v>15104.73</v>
      </c>
    </row>
    <row r="20" spans="1:2" x14ac:dyDescent="0.3">
      <c r="A20" s="1">
        <v>44773</v>
      </c>
      <c r="B20">
        <v>11540.62</v>
      </c>
    </row>
    <row r="21" spans="1:2" x14ac:dyDescent="0.3">
      <c r="A21" s="1">
        <v>44804</v>
      </c>
      <c r="B21">
        <v>9206.65</v>
      </c>
    </row>
    <row r="22" spans="1:2" x14ac:dyDescent="0.3">
      <c r="A22" s="1">
        <v>44834</v>
      </c>
      <c r="B22">
        <v>7852.33</v>
      </c>
    </row>
    <row r="23" spans="1:2" x14ac:dyDescent="0.3">
      <c r="A23" s="1">
        <v>44865</v>
      </c>
      <c r="B23">
        <v>7865.17</v>
      </c>
    </row>
    <row r="24" spans="1:2" x14ac:dyDescent="0.3">
      <c r="A24" s="1">
        <v>44895</v>
      </c>
      <c r="B24">
        <v>9991.94</v>
      </c>
    </row>
    <row r="25" spans="1:2" x14ac:dyDescent="0.3">
      <c r="A25" s="1">
        <v>44926</v>
      </c>
      <c r="B25">
        <v>11919.95</v>
      </c>
    </row>
    <row r="26" spans="1:2" x14ac:dyDescent="0.3">
      <c r="A26" s="1">
        <v>44957</v>
      </c>
      <c r="B26">
        <v>13863.42</v>
      </c>
    </row>
    <row r="27" spans="1:2" x14ac:dyDescent="0.3">
      <c r="A27" s="1">
        <v>44985</v>
      </c>
      <c r="B27">
        <v>15949.98</v>
      </c>
    </row>
    <row r="28" spans="1:2" x14ac:dyDescent="0.3">
      <c r="A28" s="1">
        <v>45016</v>
      </c>
      <c r="B28">
        <v>16506.41</v>
      </c>
    </row>
    <row r="29" spans="1:2" x14ac:dyDescent="0.3">
      <c r="A29" s="1">
        <v>45046</v>
      </c>
      <c r="B29">
        <v>15381.54</v>
      </c>
    </row>
    <row r="30" spans="1:2" x14ac:dyDescent="0.3">
      <c r="A30" s="1">
        <v>45077</v>
      </c>
      <c r="B30">
        <v>14104.71</v>
      </c>
    </row>
    <row r="31" spans="1:2" x14ac:dyDescent="0.3">
      <c r="A31" s="1">
        <v>45107</v>
      </c>
      <c r="B31">
        <v>13594.77</v>
      </c>
    </row>
    <row r="32" spans="1:2" x14ac:dyDescent="0.3">
      <c r="A32" s="1">
        <v>45138</v>
      </c>
      <c r="B32">
        <v>11012.16</v>
      </c>
    </row>
    <row r="33" spans="1:2" x14ac:dyDescent="0.3">
      <c r="A33" s="1">
        <v>45169</v>
      </c>
      <c r="B33">
        <v>8516.6299999999992</v>
      </c>
    </row>
    <row r="34" spans="1:2" x14ac:dyDescent="0.3">
      <c r="A34" s="1">
        <v>45199</v>
      </c>
      <c r="B34">
        <v>10439.39</v>
      </c>
    </row>
    <row r="35" spans="1:2" x14ac:dyDescent="0.3">
      <c r="A35" s="1">
        <v>45230</v>
      </c>
      <c r="B35">
        <v>8184.79</v>
      </c>
    </row>
    <row r="36" spans="1:2" x14ac:dyDescent="0.3">
      <c r="A36" s="1">
        <v>45260</v>
      </c>
      <c r="B36">
        <v>11573.05</v>
      </c>
    </row>
    <row r="37" spans="1:2" x14ac:dyDescent="0.3">
      <c r="A37" s="1">
        <v>45291</v>
      </c>
      <c r="B37">
        <v>12841.64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ORM Macedonina</cp:lastModifiedBy>
  <dcterms:created xsi:type="dcterms:W3CDTF">2025-07-01T16:13:31Z</dcterms:created>
  <dcterms:modified xsi:type="dcterms:W3CDTF">2025-11-05T17:52:34Z</dcterms:modified>
</cp:coreProperties>
</file>